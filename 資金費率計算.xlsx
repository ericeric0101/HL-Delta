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g-kaihuang/Downloads/"/>
    </mc:Choice>
  </mc:AlternateContent>
  <xr:revisionPtr revIDLastSave="0" documentId="13_ncr:1_{75CA6059-37C3-A140-8C87-0AAB14820A62}" xr6:coauthVersionLast="47" xr6:coauthVersionMax="47" xr10:uidLastSave="{00000000-0000-0000-0000-000000000000}"/>
  <bookViews>
    <workbookView xWindow="380" yWindow="620" windowWidth="28040" windowHeight="16820" xr2:uid="{81ECAD68-8E7D-5449-8203-1414CDC5E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0" i="1"/>
  <c r="C22" i="1"/>
  <c r="F25" i="1"/>
  <c r="F24" i="1"/>
  <c r="F23" i="1"/>
  <c r="F21" i="1"/>
  <c r="F20" i="1"/>
  <c r="C24" i="1"/>
  <c r="D24" i="1" s="1"/>
  <c r="C20" i="1"/>
  <c r="C21" i="1" s="1"/>
  <c r="C23" i="1" s="1"/>
  <c r="C25" i="1" s="1"/>
  <c r="G13" i="1"/>
  <c r="G12" i="1"/>
  <c r="D20" i="1" l="1"/>
  <c r="D21" i="1" s="1"/>
  <c r="D23" i="1" s="1"/>
  <c r="D25" i="1" s="1"/>
  <c r="H12" i="1"/>
  <c r="G22" i="1" s="1"/>
  <c r="G25" i="1" l="1"/>
  <c r="G23" i="1"/>
  <c r="G24" i="1"/>
  <c r="G21" i="1"/>
  <c r="G20" i="1"/>
</calcChain>
</file>

<file path=xl/sharedStrings.xml><?xml version="1.0" encoding="utf-8"?>
<sst xmlns="http://schemas.openxmlformats.org/spreadsheetml/2006/main" count="28" uniqueCount="24">
  <si>
    <t>交易費用</t>
  </si>
  <si>
    <t>perp</t>
  </si>
  <si>
    <t>taker</t>
  </si>
  <si>
    <t>maker</t>
  </si>
  <si>
    <t>spot</t>
  </si>
  <si>
    <t>本金 ($)</t>
  </si>
  <si>
    <t>買賣一次成本</t>
  </si>
  <si>
    <t>總計 ($)</t>
  </si>
  <si>
    <t>最低資金費率: 0.001%</t>
  </si>
  <si>
    <t>多數情況下為0.0013%</t>
  </si>
  <si>
    <t>只有perp可以拿到資金費率 ($500)</t>
  </si>
  <si>
    <t>小時化 ($)</t>
  </si>
  <si>
    <t>日化 ($)</t>
  </si>
  <si>
    <t>最低需要持倉幾天才能cover手續費</t>
  </si>
  <si>
    <t>0.0013%</t>
  </si>
  <si>
    <t>0.0052%</t>
  </si>
  <si>
    <t>0.0104%</t>
  </si>
  <si>
    <t>0.0075%</t>
  </si>
  <si>
    <t>年化 (%)</t>
  </si>
  <si>
    <t>每$500</t>
  </si>
  <si>
    <t>0.0026%</t>
  </si>
  <si>
    <t>所以開倉門檻最低要年化30%, 持倉時間最短72小時</t>
  </si>
  <si>
    <t>0.0034%</t>
  </si>
  <si>
    <t>年化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</si>
</sst>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0AEF-F58B-6C4C-92F4-E4A0FEC65EEC}">
  <dimension ref="B4:I26"/>
  <sheetViews>
    <sheetView tabSelected="1" workbookViewId="0">
      <selection activeCell="F10" sqref="F10"/>
    </sheetView>
  </sheetViews>
  <sheetFormatPr baseColWidth="10" defaultRowHeight="16" x14ac:dyDescent="0.2"/>
  <cols>
    <col min="1" max="2" width="10.83203125" style="1"/>
    <col min="3" max="3" width="25.33203125" style="1" bestFit="1" customWidth="1"/>
    <col min="4" max="5" width="10.83203125" style="1"/>
    <col min="6" max="6" width="13.1640625" style="1" bestFit="1" customWidth="1"/>
    <col min="7" max="16384" width="10.83203125" style="1"/>
  </cols>
  <sheetData>
    <row r="4" spans="3:8" x14ac:dyDescent="0.2">
      <c r="C4" s="1" t="s">
        <v>0</v>
      </c>
    </row>
    <row r="5" spans="3:8" x14ac:dyDescent="0.2">
      <c r="C5" s="1" t="s">
        <v>1</v>
      </c>
      <c r="E5" s="1" t="s">
        <v>4</v>
      </c>
    </row>
    <row r="6" spans="3:8" x14ac:dyDescent="0.2">
      <c r="C6" s="1" t="s">
        <v>2</v>
      </c>
      <c r="D6" s="1" t="s">
        <v>3</v>
      </c>
      <c r="E6" s="1" t="s">
        <v>2</v>
      </c>
      <c r="F6" s="1" t="s">
        <v>3</v>
      </c>
    </row>
    <row r="7" spans="3:8" x14ac:dyDescent="0.2">
      <c r="C7" s="1">
        <v>4.4999999999999999E-4</v>
      </c>
      <c r="D7" s="1">
        <v>1.4999999999999999E-4</v>
      </c>
      <c r="E7" s="1">
        <v>6.9999999999999999E-4</v>
      </c>
      <c r="F7" s="1">
        <v>4.0000000000000002E-4</v>
      </c>
    </row>
    <row r="11" spans="3:8" x14ac:dyDescent="0.2">
      <c r="C11" s="4" t="s">
        <v>5</v>
      </c>
      <c r="F11" s="1" t="s">
        <v>6</v>
      </c>
      <c r="H11" s="1" t="s">
        <v>7</v>
      </c>
    </row>
    <row r="12" spans="3:8" x14ac:dyDescent="0.2">
      <c r="C12" s="4">
        <v>1000</v>
      </c>
      <c r="D12" s="1" t="s">
        <v>4</v>
      </c>
      <c r="E12" s="1">
        <v>500</v>
      </c>
      <c r="F12" s="1">
        <v>1.4E-3</v>
      </c>
      <c r="G12" s="1">
        <f>E12*F12</f>
        <v>0.7</v>
      </c>
      <c r="H12" s="1">
        <f>G12+G13</f>
        <v>1.1499999999999999</v>
      </c>
    </row>
    <row r="13" spans="3:8" x14ac:dyDescent="0.2">
      <c r="D13" s="1" t="s">
        <v>1</v>
      </c>
      <c r="E13" s="1">
        <v>500</v>
      </c>
      <c r="F13" s="1">
        <v>8.9999999999999998E-4</v>
      </c>
      <c r="G13" s="1">
        <f>E13*F13</f>
        <v>0.45</v>
      </c>
    </row>
    <row r="16" spans="3:8" x14ac:dyDescent="0.2">
      <c r="C16" s="1" t="s">
        <v>10</v>
      </c>
    </row>
    <row r="17" spans="2:9" x14ac:dyDescent="0.2">
      <c r="C17" s="1" t="s">
        <v>8</v>
      </c>
    </row>
    <row r="18" spans="2:9" x14ac:dyDescent="0.2">
      <c r="C18" s="1" t="s">
        <v>9</v>
      </c>
    </row>
    <row r="19" spans="2:9" x14ac:dyDescent="0.2">
      <c r="B19" s="4" t="s">
        <v>19</v>
      </c>
      <c r="C19" s="1" t="s">
        <v>11</v>
      </c>
      <c r="D19" s="1" t="s">
        <v>12</v>
      </c>
      <c r="E19" s="4" t="s">
        <v>23</v>
      </c>
      <c r="F19" s="4" t="s">
        <v>18</v>
      </c>
      <c r="G19" s="1" t="s">
        <v>13</v>
      </c>
    </row>
    <row r="20" spans="2:9" x14ac:dyDescent="0.2">
      <c r="B20" s="3" t="s">
        <v>14</v>
      </c>
      <c r="C20" s="1">
        <f>E13*0.000013</f>
        <v>6.4999999999999997E-3</v>
      </c>
      <c r="D20" s="1">
        <f>C20*24</f>
        <v>0.156</v>
      </c>
      <c r="E20" s="2">
        <f>D20*365</f>
        <v>56.94</v>
      </c>
      <c r="F20" s="1">
        <f>0.000013*24*365*100</f>
        <v>11.388</v>
      </c>
      <c r="G20" s="2">
        <f>H12/D20</f>
        <v>7.3717948717948714</v>
      </c>
    </row>
    <row r="21" spans="2:9" x14ac:dyDescent="0.2">
      <c r="B21" s="3" t="s">
        <v>20</v>
      </c>
      <c r="C21" s="1">
        <f>C20*2</f>
        <v>1.2999999999999999E-2</v>
      </c>
      <c r="D21" s="1">
        <f>D20*2</f>
        <v>0.312</v>
      </c>
      <c r="E21" s="2">
        <f t="shared" ref="E21:E25" si="0">D21*365</f>
        <v>113.88</v>
      </c>
      <c r="F21" s="1">
        <f>0.000026*24*365*100</f>
        <v>22.776</v>
      </c>
      <c r="G21" s="2">
        <f>H12/D21</f>
        <v>3.6858974358974357</v>
      </c>
    </row>
    <row r="22" spans="2:9" x14ac:dyDescent="0.2">
      <c r="B22" s="5" t="s">
        <v>22</v>
      </c>
      <c r="C22" s="5">
        <f>E13*0.000034</f>
        <v>1.7000000000000001E-2</v>
      </c>
      <c r="D22" s="5">
        <v>0.41089999999999999</v>
      </c>
      <c r="E22" s="2">
        <f t="shared" si="0"/>
        <v>149.9785</v>
      </c>
      <c r="F22" s="5">
        <v>30</v>
      </c>
      <c r="G22" s="2">
        <f>H12/D22</f>
        <v>2.7987344852762228</v>
      </c>
    </row>
    <row r="23" spans="2:9" x14ac:dyDescent="0.2">
      <c r="B23" s="1" t="s">
        <v>15</v>
      </c>
      <c r="C23" s="1">
        <f>C21*2</f>
        <v>2.5999999999999999E-2</v>
      </c>
      <c r="D23" s="1">
        <f>D21*2</f>
        <v>0.624</v>
      </c>
      <c r="E23" s="2">
        <f t="shared" si="0"/>
        <v>227.76</v>
      </c>
      <c r="F23" s="1">
        <f>0.000052*24*365*100</f>
        <v>45.552</v>
      </c>
      <c r="G23" s="2">
        <f>H12/D23</f>
        <v>1.8429487179487178</v>
      </c>
    </row>
    <row r="24" spans="2:9" x14ac:dyDescent="0.2">
      <c r="B24" s="1" t="s">
        <v>17</v>
      </c>
      <c r="C24" s="1">
        <f>E13*0.000075</f>
        <v>3.7499999999999999E-2</v>
      </c>
      <c r="D24" s="1">
        <f>C24*24</f>
        <v>0.89999999999999991</v>
      </c>
      <c r="E24" s="2">
        <f t="shared" si="0"/>
        <v>328.49999999999994</v>
      </c>
      <c r="F24" s="1">
        <f>0.000075*24*365*100</f>
        <v>65.7</v>
      </c>
      <c r="G24" s="2">
        <f>H12/D24</f>
        <v>1.2777777777777779</v>
      </c>
    </row>
    <row r="25" spans="2:9" x14ac:dyDescent="0.2">
      <c r="B25" s="1" t="s">
        <v>16</v>
      </c>
      <c r="C25" s="1">
        <f>C23*2</f>
        <v>5.1999999999999998E-2</v>
      </c>
      <c r="D25" s="1">
        <f>D23*2</f>
        <v>1.248</v>
      </c>
      <c r="E25" s="2">
        <f t="shared" si="0"/>
        <v>455.52</v>
      </c>
      <c r="F25" s="1">
        <f>0.000104*24*365*100</f>
        <v>91.103999999999999</v>
      </c>
      <c r="G25" s="2">
        <f>H12/D25</f>
        <v>0.92147435897435892</v>
      </c>
    </row>
    <row r="26" spans="2:9" x14ac:dyDescent="0.2">
      <c r="F26" s="6" t="s">
        <v>21</v>
      </c>
      <c r="G26" s="6"/>
      <c r="H26" s="6"/>
      <c r="I2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2025-09-29T21:31:55Z</dcterms:created>
  <dcterms:modified xsi:type="dcterms:W3CDTF">2025-09-30T05:25:43Z</dcterms:modified>
</cp:coreProperties>
</file>