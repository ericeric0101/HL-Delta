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heng-kaihuang/HL-Delta/"/>
    </mc:Choice>
  </mc:AlternateContent>
  <xr:revisionPtr revIDLastSave="0" documentId="13_ncr:1_{1E77FBBB-02FB-134D-BA3D-C548CD0DA9E4}" xr6:coauthVersionLast="47" xr6:coauthVersionMax="47" xr10:uidLastSave="{00000000-0000-0000-0000-000000000000}"/>
  <bookViews>
    <workbookView xWindow="380" yWindow="620" windowWidth="28040" windowHeight="16820" activeTab="1" xr2:uid="{81ECAD68-8E7D-5449-8203-1414CDC5E683}"/>
  </bookViews>
  <sheets>
    <sheet name="資金費率" sheetId="1" r:id="rId1"/>
    <sheet name="下單價格差距計算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8" i="2" l="1"/>
  <c r="I17" i="2"/>
  <c r="I7" i="2"/>
  <c r="I6" i="2"/>
  <c r="E21" i="1"/>
  <c r="E22" i="1"/>
  <c r="E23" i="1"/>
  <c r="E24" i="1"/>
  <c r="E25" i="1"/>
  <c r="E20" i="1"/>
  <c r="C22" i="1"/>
  <c r="F25" i="1"/>
  <c r="F24" i="1"/>
  <c r="F23" i="1"/>
  <c r="F21" i="1"/>
  <c r="F20" i="1"/>
  <c r="C24" i="1"/>
  <c r="D24" i="1" s="1"/>
  <c r="C20" i="1"/>
  <c r="C21" i="1" s="1"/>
  <c r="C23" i="1" s="1"/>
  <c r="C25" i="1" s="1"/>
  <c r="G13" i="1"/>
  <c r="G12" i="1"/>
  <c r="D20" i="1" l="1"/>
  <c r="D21" i="1" s="1"/>
  <c r="D23" i="1" s="1"/>
  <c r="D25" i="1" s="1"/>
  <c r="H12" i="1"/>
  <c r="G22" i="1" s="1"/>
  <c r="G25" i="1" l="1"/>
  <c r="G23" i="1"/>
  <c r="G24" i="1"/>
  <c r="G21" i="1"/>
  <c r="G20" i="1"/>
</calcChain>
</file>

<file path=xl/sharedStrings.xml><?xml version="1.0" encoding="utf-8"?>
<sst xmlns="http://schemas.openxmlformats.org/spreadsheetml/2006/main" count="106" uniqueCount="48">
  <si>
    <t>交易費用</t>
  </si>
  <si>
    <t>perp</t>
  </si>
  <si>
    <t>taker</t>
  </si>
  <si>
    <t>maker</t>
  </si>
  <si>
    <t>spot</t>
  </si>
  <si>
    <t>本金 ($)</t>
  </si>
  <si>
    <t>買賣一次成本</t>
  </si>
  <si>
    <t>總計 ($)</t>
  </si>
  <si>
    <t>最低資金費率: 0.001%</t>
  </si>
  <si>
    <t>多數情況下為0.0013%</t>
  </si>
  <si>
    <t>只有perp可以拿到資金費率 ($500)</t>
  </si>
  <si>
    <t>小時化 ($)</t>
  </si>
  <si>
    <t>日化 ($)</t>
  </si>
  <si>
    <t>最低需要持倉幾天才能cover手續費</t>
  </si>
  <si>
    <t>0.0013%</t>
  </si>
  <si>
    <t>0.0052%</t>
  </si>
  <si>
    <t>0.0104%</t>
  </si>
  <si>
    <t>0.0075%</t>
  </si>
  <si>
    <t>年化 (%)</t>
  </si>
  <si>
    <t>每$500</t>
  </si>
  <si>
    <t>0.0026%</t>
  </si>
  <si>
    <t>所以開倉門檻最低要年化30%, 持倉時間最短72小時</t>
  </si>
  <si>
    <t>0.0034%</t>
  </si>
  <si>
    <t>年化 ($)</t>
  </si>
  <si>
    <t>種類</t>
  </si>
  <si>
    <t>買/賣</t>
  </si>
  <si>
    <t>buy</t>
  </si>
  <si>
    <t>console顯示 (Bot下單)</t>
  </si>
  <si>
    <t>成交數量</t>
  </si>
  <si>
    <t>成交價格</t>
  </si>
  <si>
    <t>訂單編號</t>
  </si>
  <si>
    <t>動作</t>
  </si>
  <si>
    <t>開倉</t>
  </si>
  <si>
    <t>sell</t>
  </si>
  <si>
    <t>181186190676</t>
  </si>
  <si>
    <t>181186051836</t>
  </si>
  <si>
    <t>Hyperliquid前端顯示</t>
  </si>
  <si>
    <t>平倉</t>
  </si>
  <si>
    <t>open short</t>
  </si>
  <si>
    <t>close short</t>
  </si>
  <si>
    <t>181189806185</t>
  </si>
  <si>
    <t>181189557657</t>
  </si>
  <si>
    <t>181193823848</t>
  </si>
  <si>
    <t>181193929722</t>
  </si>
  <si>
    <t>181195900508</t>
  </si>
  <si>
    <t>Hyperliquid真正成交</t>
  </si>
  <si>
    <t>181196099625</t>
  </si>
  <si>
    <t>盈虧 (不計手續費)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</si>
</sst>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"/>
  </numFmts>
  <fonts count="3" x14ac:knownFonts="1">
    <font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0" fontId="0" fillId="0" borderId="0" xfId="0" applyNumberFormat="1" applyAlignment="1">
      <alignment horizontal="left"/>
    </xf>
    <xf numFmtId="0" fontId="0" fillId="2" borderId="0" xfId="0" applyFill="1" applyAlignment="1">
      <alignment horizontal="left"/>
    </xf>
    <xf numFmtId="0" fontId="1" fillId="0" borderId="0" xfId="0" applyFont="1" applyAlignment="1">
      <alignment horizontal="left"/>
    </xf>
    <xf numFmtId="0" fontId="0" fillId="3" borderId="0" xfId="0" applyFill="1" applyAlignment="1">
      <alignment horizontal="left"/>
    </xf>
    <xf numFmtId="0" fontId="0" fillId="0" borderId="0" xfId="0" applyFont="1"/>
    <xf numFmtId="169" fontId="0" fillId="0" borderId="0" xfId="0" applyNumberFormat="1" applyFont="1"/>
    <xf numFmtId="0" fontId="0" fillId="0" borderId="1" xfId="0" applyFont="1" applyBorder="1" applyAlignment="1">
      <alignment horizontal="left"/>
    </xf>
    <xf numFmtId="0" fontId="0" fillId="0" borderId="2" xfId="0" applyFont="1" applyBorder="1" applyAlignment="1">
      <alignment horizontal="left"/>
    </xf>
    <xf numFmtId="49" fontId="2" fillId="0" borderId="3" xfId="0" applyNumberFormat="1" applyFont="1" applyBorder="1" applyAlignment="1">
      <alignment horizontal="left"/>
    </xf>
    <xf numFmtId="0" fontId="0" fillId="0" borderId="4" xfId="0" applyFont="1" applyBorder="1" applyAlignment="1">
      <alignment horizontal="left"/>
    </xf>
    <xf numFmtId="0" fontId="0" fillId="0" borderId="0" xfId="0" applyFont="1" applyBorder="1" applyAlignment="1">
      <alignment horizontal="left"/>
    </xf>
    <xf numFmtId="169" fontId="0" fillId="0" borderId="0" xfId="0" applyNumberFormat="1" applyFont="1" applyBorder="1" applyAlignment="1">
      <alignment horizontal="left"/>
    </xf>
    <xf numFmtId="49" fontId="2" fillId="0" borderId="5" xfId="0" applyNumberFormat="1" applyFont="1" applyBorder="1" applyAlignment="1">
      <alignment horizontal="left"/>
    </xf>
    <xf numFmtId="0" fontId="0" fillId="0" borderId="5" xfId="0" applyFont="1" applyBorder="1" applyAlignment="1">
      <alignment horizontal="left"/>
    </xf>
    <xf numFmtId="0" fontId="0" fillId="0" borderId="6" xfId="0" applyFont="1" applyBorder="1" applyAlignment="1">
      <alignment horizontal="left"/>
    </xf>
    <xf numFmtId="0" fontId="0" fillId="0" borderId="7" xfId="0" applyFont="1" applyBorder="1" applyAlignment="1">
      <alignment horizontal="left"/>
    </xf>
    <xf numFmtId="0" fontId="0" fillId="0" borderId="8" xfId="0" applyFont="1" applyBorder="1" applyAlignment="1">
      <alignment horizontal="left"/>
    </xf>
    <xf numFmtId="49" fontId="0" fillId="0" borderId="5" xfId="0" applyNumberFormat="1" applyFont="1" applyBorder="1" applyAlignment="1">
      <alignment horizontal="left"/>
    </xf>
    <xf numFmtId="0" fontId="0" fillId="0" borderId="9" xfId="0" applyFont="1" applyBorder="1" applyAlignment="1">
      <alignment horizontal="left"/>
    </xf>
    <xf numFmtId="0" fontId="0" fillId="0" borderId="10" xfId="0" applyFont="1" applyBorder="1" applyAlignment="1">
      <alignment horizontal="left"/>
    </xf>
    <xf numFmtId="0" fontId="0" fillId="0" borderId="11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9" fontId="1" fillId="0" borderId="0" xfId="0" applyNumberFormat="1" applyFont="1" applyBorder="1" applyAlignment="1">
      <alignment horizontal="left"/>
    </xf>
    <xf numFmtId="0" fontId="1" fillId="0" borderId="0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F0AEF-F58B-6C4C-92F4-E4A0FEC65EEC}">
  <dimension ref="B4:I26"/>
  <sheetViews>
    <sheetView workbookViewId="0">
      <selection activeCell="F10" sqref="F10"/>
    </sheetView>
  </sheetViews>
  <sheetFormatPr baseColWidth="10" defaultRowHeight="16" x14ac:dyDescent="0.2"/>
  <cols>
    <col min="1" max="2" width="10.83203125" style="1"/>
    <col min="3" max="3" width="25.33203125" style="1" bestFit="1" customWidth="1"/>
    <col min="4" max="5" width="10.83203125" style="1"/>
    <col min="6" max="6" width="13.1640625" style="1" bestFit="1" customWidth="1"/>
    <col min="7" max="16384" width="10.83203125" style="1"/>
  </cols>
  <sheetData>
    <row r="4" spans="3:8" x14ac:dyDescent="0.2">
      <c r="C4" s="1" t="s">
        <v>0</v>
      </c>
    </row>
    <row r="5" spans="3:8" x14ac:dyDescent="0.2">
      <c r="C5" s="1" t="s">
        <v>1</v>
      </c>
      <c r="E5" s="1" t="s">
        <v>4</v>
      </c>
    </row>
    <row r="6" spans="3:8" x14ac:dyDescent="0.2">
      <c r="C6" s="1" t="s">
        <v>2</v>
      </c>
      <c r="D6" s="1" t="s">
        <v>3</v>
      </c>
      <c r="E6" s="1" t="s">
        <v>2</v>
      </c>
      <c r="F6" s="1" t="s">
        <v>3</v>
      </c>
    </row>
    <row r="7" spans="3:8" x14ac:dyDescent="0.2">
      <c r="C7" s="1">
        <v>4.4999999999999999E-4</v>
      </c>
      <c r="D7" s="1">
        <v>1.4999999999999999E-4</v>
      </c>
      <c r="E7" s="1">
        <v>6.9999999999999999E-4</v>
      </c>
      <c r="F7" s="1">
        <v>4.0000000000000002E-4</v>
      </c>
    </row>
    <row r="11" spans="3:8" x14ac:dyDescent="0.2">
      <c r="C11" s="4" t="s">
        <v>5</v>
      </c>
      <c r="F11" s="1" t="s">
        <v>6</v>
      </c>
      <c r="H11" s="1" t="s">
        <v>7</v>
      </c>
    </row>
    <row r="12" spans="3:8" x14ac:dyDescent="0.2">
      <c r="C12" s="4">
        <v>1000</v>
      </c>
      <c r="D12" s="1" t="s">
        <v>4</v>
      </c>
      <c r="E12" s="1">
        <v>500</v>
      </c>
      <c r="F12" s="1">
        <v>1.4E-3</v>
      </c>
      <c r="G12" s="1">
        <f>E12*F12</f>
        <v>0.7</v>
      </c>
      <c r="H12" s="1">
        <f>G12+G13</f>
        <v>1.1499999999999999</v>
      </c>
    </row>
    <row r="13" spans="3:8" x14ac:dyDescent="0.2">
      <c r="D13" s="1" t="s">
        <v>1</v>
      </c>
      <c r="E13" s="1">
        <v>500</v>
      </c>
      <c r="F13" s="1">
        <v>8.9999999999999998E-4</v>
      </c>
      <c r="G13" s="1">
        <f>E13*F13</f>
        <v>0.45</v>
      </c>
    </row>
    <row r="16" spans="3:8" x14ac:dyDescent="0.2">
      <c r="C16" s="1" t="s">
        <v>10</v>
      </c>
    </row>
    <row r="17" spans="2:9" x14ac:dyDescent="0.2">
      <c r="C17" s="1" t="s">
        <v>8</v>
      </c>
    </row>
    <row r="18" spans="2:9" x14ac:dyDescent="0.2">
      <c r="C18" s="1" t="s">
        <v>9</v>
      </c>
    </row>
    <row r="19" spans="2:9" x14ac:dyDescent="0.2">
      <c r="B19" s="4" t="s">
        <v>19</v>
      </c>
      <c r="C19" s="1" t="s">
        <v>11</v>
      </c>
      <c r="D19" s="1" t="s">
        <v>12</v>
      </c>
      <c r="E19" s="4" t="s">
        <v>23</v>
      </c>
      <c r="F19" s="4" t="s">
        <v>18</v>
      </c>
      <c r="G19" s="1" t="s">
        <v>13</v>
      </c>
    </row>
    <row r="20" spans="2:9" x14ac:dyDescent="0.2">
      <c r="B20" s="3" t="s">
        <v>14</v>
      </c>
      <c r="C20" s="1">
        <f>E13*0.000013</f>
        <v>6.4999999999999997E-3</v>
      </c>
      <c r="D20" s="1">
        <f>C20*24</f>
        <v>0.156</v>
      </c>
      <c r="E20" s="2">
        <f>D20*365</f>
        <v>56.94</v>
      </c>
      <c r="F20" s="1">
        <f>0.000013*24*365*100</f>
        <v>11.388</v>
      </c>
      <c r="G20" s="2">
        <f>H12/D20</f>
        <v>7.3717948717948714</v>
      </c>
    </row>
    <row r="21" spans="2:9" x14ac:dyDescent="0.2">
      <c r="B21" s="3" t="s">
        <v>20</v>
      </c>
      <c r="C21" s="1">
        <f>C20*2</f>
        <v>1.2999999999999999E-2</v>
      </c>
      <c r="D21" s="1">
        <f>D20*2</f>
        <v>0.312</v>
      </c>
      <c r="E21" s="2">
        <f t="shared" ref="E21:E25" si="0">D21*365</f>
        <v>113.88</v>
      </c>
      <c r="F21" s="1">
        <f>0.000026*24*365*100</f>
        <v>22.776</v>
      </c>
      <c r="G21" s="2">
        <f>H12/D21</f>
        <v>3.6858974358974357</v>
      </c>
    </row>
    <row r="22" spans="2:9" x14ac:dyDescent="0.2">
      <c r="B22" s="5" t="s">
        <v>22</v>
      </c>
      <c r="C22" s="5">
        <f>E13*0.000034</f>
        <v>1.7000000000000001E-2</v>
      </c>
      <c r="D22" s="5">
        <v>0.41089999999999999</v>
      </c>
      <c r="E22" s="2">
        <f t="shared" si="0"/>
        <v>149.9785</v>
      </c>
      <c r="F22" s="5">
        <v>30</v>
      </c>
      <c r="G22" s="2">
        <f>H12/D22</f>
        <v>2.7987344852762228</v>
      </c>
    </row>
    <row r="23" spans="2:9" x14ac:dyDescent="0.2">
      <c r="B23" s="1" t="s">
        <v>15</v>
      </c>
      <c r="C23" s="1">
        <f>C21*2</f>
        <v>2.5999999999999999E-2</v>
      </c>
      <c r="D23" s="1">
        <f>D21*2</f>
        <v>0.624</v>
      </c>
      <c r="E23" s="2">
        <f t="shared" si="0"/>
        <v>227.76</v>
      </c>
      <c r="F23" s="1">
        <f>0.000052*24*365*100</f>
        <v>45.552</v>
      </c>
      <c r="G23" s="2">
        <f>H12/D23</f>
        <v>1.8429487179487178</v>
      </c>
    </row>
    <row r="24" spans="2:9" x14ac:dyDescent="0.2">
      <c r="B24" s="1" t="s">
        <v>17</v>
      </c>
      <c r="C24" s="1">
        <f>E13*0.000075</f>
        <v>3.7499999999999999E-2</v>
      </c>
      <c r="D24" s="1">
        <f>C24*24</f>
        <v>0.89999999999999991</v>
      </c>
      <c r="E24" s="2">
        <f t="shared" si="0"/>
        <v>328.49999999999994</v>
      </c>
      <c r="F24" s="1">
        <f>0.000075*24*365*100</f>
        <v>65.7</v>
      </c>
      <c r="G24" s="2">
        <f>H12/D24</f>
        <v>1.2777777777777779</v>
      </c>
    </row>
    <row r="25" spans="2:9" x14ac:dyDescent="0.2">
      <c r="B25" s="1" t="s">
        <v>16</v>
      </c>
      <c r="C25" s="1">
        <f>C23*2</f>
        <v>5.1999999999999998E-2</v>
      </c>
      <c r="D25" s="1">
        <f>D23*2</f>
        <v>1.248</v>
      </c>
      <c r="E25" s="2">
        <f t="shared" si="0"/>
        <v>455.52</v>
      </c>
      <c r="F25" s="1">
        <f>0.000104*24*365*100</f>
        <v>91.103999999999999</v>
      </c>
      <c r="G25" s="2">
        <f>H12/D25</f>
        <v>0.92147435897435892</v>
      </c>
    </row>
    <row r="26" spans="2:9" x14ac:dyDescent="0.2">
      <c r="F26" s="6" t="s">
        <v>21</v>
      </c>
      <c r="G26" s="6"/>
      <c r="H26" s="6"/>
      <c r="I26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3DD73-3715-EF47-84AC-688E69564FF5}">
  <dimension ref="C2:L22"/>
  <sheetViews>
    <sheetView tabSelected="1" workbookViewId="0">
      <selection activeCell="I14" sqref="I14"/>
    </sheetView>
  </sheetViews>
  <sheetFormatPr baseColWidth="10" defaultRowHeight="16" x14ac:dyDescent="0.2"/>
  <cols>
    <col min="1" max="2" width="10.83203125" style="7"/>
    <col min="3" max="3" width="20" style="7" bestFit="1" customWidth="1"/>
    <col min="4" max="4" width="10.6640625" style="7" customWidth="1"/>
    <col min="5" max="8" width="10.83203125" style="7"/>
    <col min="9" max="9" width="17" style="7" bestFit="1" customWidth="1"/>
    <col min="10" max="10" width="13.1640625" style="7" bestFit="1" customWidth="1"/>
    <col min="11" max="16384" width="10.83203125" style="7"/>
  </cols>
  <sheetData>
    <row r="2" spans="3:10" ht="17" thickBot="1" x14ac:dyDescent="0.25"/>
    <row r="3" spans="3:10" ht="17" thickBot="1" x14ac:dyDescent="0.25">
      <c r="C3" s="21"/>
      <c r="D3" s="22" t="s">
        <v>31</v>
      </c>
      <c r="E3" s="22" t="s">
        <v>24</v>
      </c>
      <c r="F3" s="22" t="s">
        <v>25</v>
      </c>
      <c r="G3" s="22" t="s">
        <v>28</v>
      </c>
      <c r="H3" s="22" t="s">
        <v>29</v>
      </c>
      <c r="I3" s="22" t="s">
        <v>47</v>
      </c>
      <c r="J3" s="23" t="s">
        <v>30</v>
      </c>
    </row>
    <row r="4" spans="3:10" x14ac:dyDescent="0.2">
      <c r="C4" s="9" t="s">
        <v>27</v>
      </c>
      <c r="D4" s="10" t="s">
        <v>32</v>
      </c>
      <c r="E4" s="10" t="s">
        <v>4</v>
      </c>
      <c r="F4" s="10" t="s">
        <v>26</v>
      </c>
      <c r="G4" s="10">
        <v>0.87</v>
      </c>
      <c r="H4" s="24">
        <v>45.387</v>
      </c>
      <c r="I4" s="24"/>
      <c r="J4" s="11" t="s">
        <v>35</v>
      </c>
    </row>
    <row r="5" spans="3:10" x14ac:dyDescent="0.2">
      <c r="C5" s="12"/>
      <c r="D5" s="13" t="s">
        <v>32</v>
      </c>
      <c r="E5" s="13" t="s">
        <v>1</v>
      </c>
      <c r="F5" s="13" t="s">
        <v>38</v>
      </c>
      <c r="G5" s="13">
        <v>0.87</v>
      </c>
      <c r="H5" s="13">
        <v>45.271999999999998</v>
      </c>
      <c r="I5" s="13"/>
      <c r="J5" s="20" t="s">
        <v>34</v>
      </c>
    </row>
    <row r="6" spans="3:10" x14ac:dyDescent="0.2">
      <c r="C6" s="12" t="s">
        <v>36</v>
      </c>
      <c r="D6" s="13" t="s">
        <v>32</v>
      </c>
      <c r="E6" s="13" t="s">
        <v>4</v>
      </c>
      <c r="F6" s="13" t="s">
        <v>26</v>
      </c>
      <c r="G6" s="13">
        <v>0.87</v>
      </c>
      <c r="H6" s="25">
        <v>45.28</v>
      </c>
      <c r="I6" s="25">
        <f>H6-H10</f>
        <v>-0.15099999999999625</v>
      </c>
      <c r="J6" s="16"/>
    </row>
    <row r="7" spans="3:10" ht="17" thickBot="1" x14ac:dyDescent="0.25">
      <c r="C7" s="17"/>
      <c r="D7" s="18" t="s">
        <v>32</v>
      </c>
      <c r="E7" s="18" t="s">
        <v>1</v>
      </c>
      <c r="F7" s="18" t="s">
        <v>38</v>
      </c>
      <c r="G7" s="18">
        <v>0.87</v>
      </c>
      <c r="H7" s="18">
        <v>45.348999999999997</v>
      </c>
      <c r="I7" s="18">
        <f>H7-H11</f>
        <v>-0.15000000000000568</v>
      </c>
      <c r="J7" s="19"/>
    </row>
    <row r="8" spans="3:10" x14ac:dyDescent="0.2">
      <c r="C8" s="9" t="s">
        <v>27</v>
      </c>
      <c r="D8" s="10" t="s">
        <v>37</v>
      </c>
      <c r="E8" s="10" t="s">
        <v>4</v>
      </c>
      <c r="F8" s="10" t="s">
        <v>33</v>
      </c>
      <c r="G8" s="10">
        <v>0.87</v>
      </c>
      <c r="H8" s="24">
        <v>45.014000000000003</v>
      </c>
      <c r="I8" s="24"/>
      <c r="J8" s="11" t="s">
        <v>41</v>
      </c>
    </row>
    <row r="9" spans="3:10" x14ac:dyDescent="0.2">
      <c r="C9" s="12"/>
      <c r="D9" s="13" t="s">
        <v>37</v>
      </c>
      <c r="E9" s="13" t="s">
        <v>1</v>
      </c>
      <c r="F9" s="13" t="s">
        <v>39</v>
      </c>
      <c r="G9" s="13">
        <v>0.87</v>
      </c>
      <c r="H9" s="14">
        <v>45.94</v>
      </c>
      <c r="I9" s="14"/>
      <c r="J9" s="15" t="s">
        <v>40</v>
      </c>
    </row>
    <row r="10" spans="3:10" x14ac:dyDescent="0.2">
      <c r="C10" s="12" t="s">
        <v>36</v>
      </c>
      <c r="D10" s="13" t="s">
        <v>37</v>
      </c>
      <c r="E10" s="13" t="s">
        <v>4</v>
      </c>
      <c r="F10" s="13" t="s">
        <v>33</v>
      </c>
      <c r="G10" s="13">
        <v>0.87</v>
      </c>
      <c r="H10" s="26">
        <v>45.430999999999997</v>
      </c>
      <c r="I10" s="26"/>
      <c r="J10" s="16"/>
    </row>
    <row r="11" spans="3:10" ht="17" thickBot="1" x14ac:dyDescent="0.25">
      <c r="C11" s="17"/>
      <c r="D11" s="18" t="s">
        <v>37</v>
      </c>
      <c r="E11" s="18" t="s">
        <v>1</v>
      </c>
      <c r="F11" s="18" t="s">
        <v>39</v>
      </c>
      <c r="G11" s="18">
        <v>0.87</v>
      </c>
      <c r="H11" s="18">
        <v>45.499000000000002</v>
      </c>
      <c r="I11" s="18"/>
      <c r="J11" s="19"/>
    </row>
    <row r="13" spans="3:10" ht="17" thickBot="1" x14ac:dyDescent="0.25"/>
    <row r="14" spans="3:10" ht="17" thickBot="1" x14ac:dyDescent="0.25">
      <c r="C14" s="21"/>
      <c r="D14" s="22" t="s">
        <v>31</v>
      </c>
      <c r="E14" s="22" t="s">
        <v>24</v>
      </c>
      <c r="F14" s="22" t="s">
        <v>25</v>
      </c>
      <c r="G14" s="22" t="s">
        <v>28</v>
      </c>
      <c r="H14" s="22" t="s">
        <v>29</v>
      </c>
      <c r="I14" s="22" t="s">
        <v>47</v>
      </c>
      <c r="J14" s="23" t="s">
        <v>30</v>
      </c>
    </row>
    <row r="15" spans="3:10" x14ac:dyDescent="0.2">
      <c r="C15" s="9" t="s">
        <v>27</v>
      </c>
      <c r="D15" s="10" t="s">
        <v>32</v>
      </c>
      <c r="E15" s="10" t="s">
        <v>4</v>
      </c>
      <c r="F15" s="10" t="s">
        <v>26</v>
      </c>
      <c r="G15" s="10">
        <v>0.87</v>
      </c>
      <c r="H15" s="24">
        <v>45.436999999999998</v>
      </c>
      <c r="I15" s="24"/>
      <c r="J15" s="11" t="s">
        <v>42</v>
      </c>
    </row>
    <row r="16" spans="3:10" x14ac:dyDescent="0.2">
      <c r="C16" s="12"/>
      <c r="D16" s="13" t="s">
        <v>32</v>
      </c>
      <c r="E16" s="13" t="s">
        <v>1</v>
      </c>
      <c r="F16" s="13" t="s">
        <v>38</v>
      </c>
      <c r="G16" s="13">
        <v>0.87</v>
      </c>
      <c r="H16" s="13">
        <v>45.317999999999998</v>
      </c>
      <c r="I16" s="13"/>
      <c r="J16" s="20" t="s">
        <v>43</v>
      </c>
    </row>
    <row r="17" spans="3:12" x14ac:dyDescent="0.2">
      <c r="C17" s="12" t="s">
        <v>36</v>
      </c>
      <c r="D17" s="13" t="s">
        <v>32</v>
      </c>
      <c r="E17" s="13" t="s">
        <v>4</v>
      </c>
      <c r="F17" s="13" t="s">
        <v>26</v>
      </c>
      <c r="G17" s="13">
        <v>0.87</v>
      </c>
      <c r="H17" s="25">
        <v>45.332000000000001</v>
      </c>
      <c r="I17" s="25">
        <f>H17-H21</f>
        <v>0.20100000000000051</v>
      </c>
      <c r="J17" s="16"/>
    </row>
    <row r="18" spans="3:12" ht="17" thickBot="1" x14ac:dyDescent="0.25">
      <c r="C18" s="17"/>
      <c r="D18" s="18" t="s">
        <v>32</v>
      </c>
      <c r="E18" s="18" t="s">
        <v>1</v>
      </c>
      <c r="F18" s="18" t="s">
        <v>38</v>
      </c>
      <c r="G18" s="18">
        <v>0.87</v>
      </c>
      <c r="H18" s="18">
        <v>45.390999999999998</v>
      </c>
      <c r="I18" s="18">
        <f>H18-H22</f>
        <v>0.22299999999999898</v>
      </c>
      <c r="J18" s="19"/>
    </row>
    <row r="19" spans="3:12" x14ac:dyDescent="0.2">
      <c r="C19" s="9" t="s">
        <v>27</v>
      </c>
      <c r="D19" s="10" t="s">
        <v>37</v>
      </c>
      <c r="E19" s="10" t="s">
        <v>4</v>
      </c>
      <c r="F19" s="10" t="s">
        <v>33</v>
      </c>
      <c r="G19" s="10">
        <v>0.87</v>
      </c>
      <c r="H19" s="24">
        <v>44.710999999999999</v>
      </c>
      <c r="I19" s="24"/>
      <c r="J19" s="11" t="s">
        <v>44</v>
      </c>
    </row>
    <row r="20" spans="3:12" x14ac:dyDescent="0.2">
      <c r="C20" s="12"/>
      <c r="D20" s="13" t="s">
        <v>37</v>
      </c>
      <c r="E20" s="13" t="s">
        <v>1</v>
      </c>
      <c r="F20" s="13" t="s">
        <v>39</v>
      </c>
      <c r="G20" s="13">
        <v>0.87</v>
      </c>
      <c r="H20" s="14">
        <v>45.615000000000002</v>
      </c>
      <c r="I20" s="14"/>
      <c r="J20" s="15" t="s">
        <v>46</v>
      </c>
    </row>
    <row r="21" spans="3:12" x14ac:dyDescent="0.2">
      <c r="C21" s="12" t="s">
        <v>45</v>
      </c>
      <c r="D21" s="13" t="s">
        <v>37</v>
      </c>
      <c r="E21" s="13" t="s">
        <v>4</v>
      </c>
      <c r="F21" s="13" t="s">
        <v>33</v>
      </c>
      <c r="G21" s="13">
        <v>0.87</v>
      </c>
      <c r="H21" s="26">
        <v>45.131</v>
      </c>
      <c r="I21" s="26"/>
      <c r="J21" s="16"/>
      <c r="L21" s="8"/>
    </row>
    <row r="22" spans="3:12" ht="17" thickBot="1" x14ac:dyDescent="0.25">
      <c r="C22" s="17"/>
      <c r="D22" s="18" t="s">
        <v>37</v>
      </c>
      <c r="E22" s="18" t="s">
        <v>1</v>
      </c>
      <c r="F22" s="18" t="s">
        <v>39</v>
      </c>
      <c r="G22" s="18">
        <v>0.87</v>
      </c>
      <c r="H22" s="18">
        <v>45.167999999999999</v>
      </c>
      <c r="I22" s="18"/>
      <c r="J22" s="1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資金費率</vt:lpstr>
      <vt:lpstr>下單價格差距計算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2025-09-29T21:31:55Z</dcterms:created>
  <dcterms:modified xsi:type="dcterms:W3CDTF">2025-09-30T19:06:10Z</dcterms:modified>
</cp:coreProperties>
</file>